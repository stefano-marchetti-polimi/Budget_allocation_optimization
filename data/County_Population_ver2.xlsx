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499872_polimi_it/Documents/Python/Cursor/Budget_allocation_optimization/data/"/>
    </mc:Choice>
  </mc:AlternateContent>
  <xr:revisionPtr revIDLastSave="31" documentId="8_{D7971DFC-F256-465E-A0FD-7B35FE7ECF9D}" xr6:coauthVersionLast="47" xr6:coauthVersionMax="47" xr10:uidLastSave="{0C8F625D-4815-7C48-AEA5-C24C5CE9A21E}"/>
  <bookViews>
    <workbookView xWindow="0" yWindow="620" windowWidth="38400" windowHeight="19380" xr2:uid="{F05CF47E-1EE5-4445-B575-868BF67169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Q2" i="1"/>
  <c r="C15" i="1"/>
  <c r="C16" i="1"/>
  <c r="C17" i="1"/>
  <c r="C14" i="1"/>
  <c r="D3" i="1"/>
  <c r="D4" i="1"/>
  <c r="D5" i="1"/>
  <c r="D6" i="1"/>
  <c r="D7" i="1"/>
  <c r="D8" i="1"/>
  <c r="D9" i="1"/>
  <c r="D2" i="1"/>
  <c r="A2" i="1"/>
  <c r="J3" i="1" l="1"/>
  <c r="K3" i="1" s="1"/>
  <c r="M3" i="1"/>
  <c r="L4" i="1"/>
  <c r="N8" i="1"/>
  <c r="L3" i="1"/>
  <c r="N7" i="1"/>
  <c r="M2" i="1"/>
  <c r="N6" i="1"/>
  <c r="M10" i="1"/>
  <c r="J5" i="1"/>
  <c r="K5" i="1" s="1"/>
  <c r="J4" i="1"/>
  <c r="K4" i="1" s="1"/>
  <c r="J8" i="1"/>
  <c r="K8" i="1" s="1"/>
  <c r="J7" i="1"/>
  <c r="K7" i="1" s="1"/>
  <c r="J6" i="1"/>
  <c r="K6" i="1" s="1"/>
  <c r="J2" i="1"/>
  <c r="K2" i="1" s="1"/>
  <c r="J10" i="1"/>
  <c r="K10" i="1" s="1"/>
  <c r="J9" i="1"/>
  <c r="K9" i="1" s="1"/>
  <c r="A3" i="1"/>
  <c r="A4" i="1" s="1"/>
  <c r="L6" i="1" l="1"/>
  <c r="N2" i="1"/>
  <c r="L7" i="1"/>
  <c r="M4" i="1"/>
  <c r="N4" i="1"/>
  <c r="L8" i="1"/>
  <c r="M9" i="1"/>
  <c r="L9" i="1"/>
  <c r="M5" i="1"/>
  <c r="N5" i="1"/>
  <c r="L10" i="1"/>
  <c r="L2" i="1"/>
  <c r="N9" i="1"/>
  <c r="M8" i="1"/>
  <c r="M6" i="1"/>
  <c r="M7" i="1"/>
  <c r="L5" i="1"/>
  <c r="N10" i="1"/>
  <c r="N3" i="1"/>
</calcChain>
</file>

<file path=xl/sharedStrings.xml><?xml version="1.0" encoding="utf-8"?>
<sst xmlns="http://schemas.openxmlformats.org/spreadsheetml/2006/main" count="42" uniqueCount="39">
  <si>
    <t>County</t>
  </si>
  <si>
    <t>Chambers</t>
  </si>
  <si>
    <t>Jefferson</t>
  </si>
  <si>
    <t>Galveston</t>
  </si>
  <si>
    <t>Orange</t>
  </si>
  <si>
    <t>Hardin</t>
  </si>
  <si>
    <t>Liberty</t>
  </si>
  <si>
    <t>Harris</t>
  </si>
  <si>
    <t>Brazoria</t>
  </si>
  <si>
    <t>Index</t>
  </si>
  <si>
    <t>Overview of Texas Generation</t>
  </si>
  <si>
    <t>https://www.eia.gov/beta/states/states/tx/overview</t>
  </si>
  <si>
    <t>Population Size</t>
  </si>
  <si>
    <t>https://www.gridinfo.com/counties?s=nueces</t>
  </si>
  <si>
    <t>County Information</t>
  </si>
  <si>
    <t>Fort Bend</t>
  </si>
  <si>
    <t>https://www.gridinfo.com/texas/nueces-county</t>
  </si>
  <si>
    <t>Percentage</t>
  </si>
  <si>
    <t>Counties</t>
  </si>
  <si>
    <t>https://ktb.org/wp-content/uploads/2020-Census-Data-Texas-County-and-City-FOR-WEB.xlsx-2020-Census-Data-Texas-by-Count.pdf?utm_source=chatgpt.com</t>
  </si>
  <si>
    <t>Latitude</t>
  </si>
  <si>
    <t>Longitude</t>
  </si>
  <si>
    <t>Residential</t>
  </si>
  <si>
    <t>Commercial</t>
  </si>
  <si>
    <t>Industrial</t>
  </si>
  <si>
    <t>Transportation</t>
  </si>
  <si>
    <t>Texas Overall Energy Consumption</t>
  </si>
  <si>
    <t>Category</t>
  </si>
  <si>
    <t>Energy (Trillion Btu)</t>
  </si>
  <si>
    <t>Power Plants</t>
  </si>
  <si>
    <t>Residential (%)</t>
  </si>
  <si>
    <t>Industrial (%)</t>
  </si>
  <si>
    <t>Commercial (%)</t>
  </si>
  <si>
    <t>Texas Population</t>
  </si>
  <si>
    <t>Texas Number of Plants</t>
  </si>
  <si>
    <t>County Consumption</t>
  </si>
  <si>
    <t>Normalizing Population</t>
  </si>
  <si>
    <t>UTM Easting</t>
  </si>
  <si>
    <t>UTM Northing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</si>
</sst>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name val="Aptos"/>
      <family val="2"/>
    </font>
    <font>
      <sz val="11"/>
      <name val="Aptos Narrow"/>
      <family val="2"/>
      <scheme val="minor"/>
    </font>
    <font>
      <b/>
      <sz val="1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2"/>
    <xf numFmtId="0" fontId="0" fillId="0" borderId="1" xfId="0" applyBorder="1"/>
    <xf numFmtId="0" fontId="3" fillId="0" borderId="0" xfId="0" applyFont="1"/>
    <xf numFmtId="165" fontId="0" fillId="0" borderId="1" xfId="1" applyNumberFormat="1" applyFont="1" applyBorder="1"/>
    <xf numFmtId="0" fontId="5" fillId="0" borderId="1" xfId="0" applyFont="1" applyBorder="1" applyAlignment="1">
      <alignment horizontal="center"/>
    </xf>
    <xf numFmtId="9" fontId="5" fillId="0" borderId="1" xfId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9" fontId="6" fillId="0" borderId="1" xfId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beta/states/states/tx/overview" TargetMode="External"/><Relationship Id="rId1" Type="http://schemas.openxmlformats.org/officeDocument/2006/relationships/hyperlink" Target="https://www.gridinfo.com/counties?s=nue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56E6-2548-4002-B4C1-C2147C888BBD}">
  <dimension ref="A1:Q29"/>
  <sheetViews>
    <sheetView tabSelected="1" zoomScale="136" zoomScaleNormal="205" workbookViewId="0">
      <selection activeCell="H15" sqref="H15"/>
    </sheetView>
  </sheetViews>
  <sheetFormatPr baseColWidth="10" defaultColWidth="8.83203125" defaultRowHeight="15" x14ac:dyDescent="0.2"/>
  <cols>
    <col min="1" max="1" width="15.33203125" customWidth="1"/>
    <col min="2" max="2" width="16.5" bestFit="1" customWidth="1"/>
    <col min="3" max="3" width="14.5" bestFit="1" customWidth="1"/>
    <col min="4" max="4" width="11.5" bestFit="1" customWidth="1"/>
    <col min="5" max="5" width="11" bestFit="1" customWidth="1"/>
    <col min="6" max="6" width="9.5" bestFit="1" customWidth="1"/>
    <col min="7" max="7" width="11.5" bestFit="1" customWidth="1"/>
    <col min="8" max="8" width="12.5" bestFit="1" customWidth="1"/>
    <col min="9" max="9" width="12.33203125" bestFit="1" customWidth="1"/>
    <col min="10" max="10" width="21.1640625" bestFit="1" customWidth="1"/>
    <col min="11" max="11" width="17.5" customWidth="1"/>
    <col min="12" max="13" width="15.83203125" customWidth="1"/>
    <col min="14" max="14" width="15.5" bestFit="1" customWidth="1"/>
    <col min="15" max="15" width="15.5" customWidth="1"/>
    <col min="16" max="16" width="22.5" bestFit="1" customWidth="1"/>
    <col min="17" max="17" width="9.1640625" bestFit="1" customWidth="1"/>
  </cols>
  <sheetData>
    <row r="1" spans="1:17" ht="16" x14ac:dyDescent="0.2">
      <c r="A1" s="10" t="s">
        <v>9</v>
      </c>
      <c r="B1" s="10" t="s">
        <v>0</v>
      </c>
      <c r="C1" s="10" t="s">
        <v>12</v>
      </c>
      <c r="D1" s="10" t="s">
        <v>17</v>
      </c>
      <c r="E1" s="10" t="s">
        <v>20</v>
      </c>
      <c r="F1" s="10" t="s">
        <v>21</v>
      </c>
      <c r="G1" s="10" t="s">
        <v>37</v>
      </c>
      <c r="H1" s="10" t="s">
        <v>38</v>
      </c>
      <c r="I1" s="10" t="s">
        <v>29</v>
      </c>
      <c r="J1" s="10" t="s">
        <v>35</v>
      </c>
      <c r="K1" s="11" t="s">
        <v>31</v>
      </c>
      <c r="L1" s="11" t="s">
        <v>30</v>
      </c>
      <c r="M1" s="11" t="s">
        <v>25</v>
      </c>
      <c r="N1" s="12" t="s">
        <v>32</v>
      </c>
      <c r="O1" s="3"/>
      <c r="P1" s="15" t="s">
        <v>36</v>
      </c>
      <c r="Q1" s="15"/>
    </row>
    <row r="2" spans="1:17" x14ac:dyDescent="0.2">
      <c r="A2" s="5">
        <f>1</f>
        <v>1</v>
      </c>
      <c r="B2" s="5" t="s">
        <v>8</v>
      </c>
      <c r="C2" s="5">
        <v>372031</v>
      </c>
      <c r="D2" s="6">
        <f t="shared" ref="D2:D10" si="0">C2/SUM($C$2:$C$9)</f>
        <v>5.6747726276050105E-2</v>
      </c>
      <c r="E2" s="7">
        <v>29.166699999999999</v>
      </c>
      <c r="F2" s="5">
        <v>-95.433300000000003</v>
      </c>
      <c r="G2" s="5">
        <v>263370.27</v>
      </c>
      <c r="H2" s="5">
        <v>3228937.49</v>
      </c>
      <c r="I2" s="5">
        <v>49</v>
      </c>
      <c r="J2" s="5">
        <f t="shared" ref="J2:J10" si="1">C2/$Q$2*$B$15+ C2/$Q$2*$B$16 + C2/$Q$2*$B$17 + I2/$Q$3*$B$14</f>
        <v>329.73319198016088</v>
      </c>
      <c r="K2" s="8">
        <f t="shared" ref="K2:K10" si="2">(I2/$Q$3*$B$14)/J2</f>
        <v>0.76753632626682089</v>
      </c>
      <c r="L2" s="8">
        <f>(C2/$Q$2*$B$15)/J2</f>
        <v>0.11985574317827674</v>
      </c>
      <c r="M2" s="8">
        <f>(C2/$Q$2*$B$16)/J2</f>
        <v>5.6442791539142743E-2</v>
      </c>
      <c r="N2" s="8">
        <f>(C2/$Q$2*$B$17)/J2</f>
        <v>5.616513901575975E-2</v>
      </c>
      <c r="P2" s="2" t="s">
        <v>33</v>
      </c>
      <c r="Q2" s="2">
        <f>31.29*1000000</f>
        <v>31290000</v>
      </c>
    </row>
    <row r="3" spans="1:17" x14ac:dyDescent="0.2">
      <c r="A3" s="5">
        <f>A2+1</f>
        <v>2</v>
      </c>
      <c r="B3" s="5" t="s">
        <v>3</v>
      </c>
      <c r="C3" s="5">
        <v>350682</v>
      </c>
      <c r="D3" s="6">
        <f t="shared" si="0"/>
        <v>5.3491257841249258E-2</v>
      </c>
      <c r="E3" s="7">
        <v>29.301200000000001</v>
      </c>
      <c r="F3" s="5">
        <v>-94.795000000000002</v>
      </c>
      <c r="G3" s="5">
        <v>325661.07</v>
      </c>
      <c r="H3" s="5">
        <v>3242671.36</v>
      </c>
      <c r="I3" s="5">
        <v>25</v>
      </c>
      <c r="J3" s="5">
        <f t="shared" si="1"/>
        <v>201.37594479482971</v>
      </c>
      <c r="K3" s="8">
        <f t="shared" si="2"/>
        <v>0.6412065403305891</v>
      </c>
      <c r="L3" s="8">
        <f t="shared" ref="L3:L10" si="3">(C3/$Q$2*$B$15)/J3</f>
        <v>0.18499000753787231</v>
      </c>
      <c r="M3" s="8">
        <f t="shared" ref="M3:M10" si="4">(C3/$Q$2*$B$16)/J3</f>
        <v>8.7115995908129462E-2</v>
      </c>
      <c r="N3" s="8">
        <f t="shared" ref="N3:N10" si="5">(C3/$Q$2*$B$17)/J3</f>
        <v>8.6687456223409204E-2</v>
      </c>
      <c r="P3" s="2" t="s">
        <v>34</v>
      </c>
      <c r="Q3" s="2">
        <v>1489</v>
      </c>
    </row>
    <row r="4" spans="1:17" x14ac:dyDescent="0.2">
      <c r="A4" s="5">
        <f t="shared" ref="A4" si="6">A3+1</f>
        <v>3</v>
      </c>
      <c r="B4" s="5" t="s">
        <v>1</v>
      </c>
      <c r="C4" s="5">
        <v>46571</v>
      </c>
      <c r="D4" s="6">
        <f t="shared" si="0"/>
        <v>7.1037046923560932E-3</v>
      </c>
      <c r="E4" s="7">
        <v>29.752500000000001</v>
      </c>
      <c r="F4" s="5">
        <v>-94.686400000000006</v>
      </c>
      <c r="G4" s="5">
        <v>336937.31</v>
      </c>
      <c r="H4" s="5">
        <v>3292607.38</v>
      </c>
      <c r="I4" s="5">
        <v>9</v>
      </c>
      <c r="J4" s="5">
        <f t="shared" si="1"/>
        <v>56.07968990127452</v>
      </c>
      <c r="K4" s="8">
        <f t="shared" si="2"/>
        <v>0.82890055765651216</v>
      </c>
      <c r="L4" s="8">
        <f t="shared" si="3"/>
        <v>8.8217012534206066E-2</v>
      </c>
      <c r="M4" s="8">
        <f t="shared" si="4"/>
        <v>4.1543394723003918E-2</v>
      </c>
      <c r="N4" s="8">
        <f t="shared" si="5"/>
        <v>4.1339035086277967E-2</v>
      </c>
    </row>
    <row r="5" spans="1:17" x14ac:dyDescent="0.2">
      <c r="A5" s="5">
        <v>4</v>
      </c>
      <c r="B5" s="5" t="s">
        <v>4</v>
      </c>
      <c r="C5" s="5">
        <v>84808</v>
      </c>
      <c r="D5" s="6">
        <f t="shared" si="0"/>
        <v>1.2936183194462981E-2</v>
      </c>
      <c r="E5" s="7">
        <v>30.13</v>
      </c>
      <c r="F5" s="5">
        <v>-93.89</v>
      </c>
      <c r="G5" s="5">
        <v>414271.94</v>
      </c>
      <c r="H5" s="5">
        <v>3333524.79</v>
      </c>
      <c r="I5" s="5">
        <v>7</v>
      </c>
      <c r="J5" s="5">
        <f t="shared" si="1"/>
        <v>53.627921412862321</v>
      </c>
      <c r="K5" s="8">
        <f t="shared" si="2"/>
        <v>0.67417493444531584</v>
      </c>
      <c r="L5" s="8">
        <f t="shared" si="3"/>
        <v>0.16799186191555732</v>
      </c>
      <c r="M5" s="8">
        <f t="shared" si="4"/>
        <v>7.9111183085057268E-2</v>
      </c>
      <c r="N5" s="8">
        <f t="shared" si="5"/>
        <v>7.8722020554069627E-2</v>
      </c>
    </row>
    <row r="6" spans="1:17" x14ac:dyDescent="0.2">
      <c r="A6" s="5">
        <v>5</v>
      </c>
      <c r="B6" s="5" t="s">
        <v>5</v>
      </c>
      <c r="C6" s="5">
        <v>56231</v>
      </c>
      <c r="D6" s="6">
        <f t="shared" si="0"/>
        <v>8.5771922130913111E-3</v>
      </c>
      <c r="E6" s="7">
        <v>30.34</v>
      </c>
      <c r="F6" s="5">
        <v>-94.39</v>
      </c>
      <c r="G6" s="5">
        <v>366390.6</v>
      </c>
      <c r="H6" s="5">
        <v>3357279.84</v>
      </c>
      <c r="I6" s="5">
        <v>3</v>
      </c>
      <c r="J6" s="5">
        <f t="shared" si="1"/>
        <v>27.080319661349524</v>
      </c>
      <c r="K6" s="8">
        <f t="shared" si="2"/>
        <v>0.57218042245781242</v>
      </c>
      <c r="L6" s="8">
        <f t="shared" si="3"/>
        <v>0.22057912356401277</v>
      </c>
      <c r="M6" s="8">
        <f t="shared" si="4"/>
        <v>0.10387571891896542</v>
      </c>
      <c r="N6" s="8">
        <f t="shared" si="5"/>
        <v>0.10336473505920944</v>
      </c>
    </row>
    <row r="7" spans="1:17" x14ac:dyDescent="0.2">
      <c r="A7" s="5">
        <v>6</v>
      </c>
      <c r="B7" s="5" t="s">
        <v>6</v>
      </c>
      <c r="C7" s="5">
        <v>91628</v>
      </c>
      <c r="D7" s="6">
        <f t="shared" si="0"/>
        <v>1.3976471485499646E-2</v>
      </c>
      <c r="E7" s="7">
        <v>30.0593</v>
      </c>
      <c r="F7" s="5">
        <v>-94.796000000000006</v>
      </c>
      <c r="G7" s="5">
        <v>326868.28000000003</v>
      </c>
      <c r="H7" s="5">
        <v>3326682.51</v>
      </c>
      <c r="I7" s="5">
        <v>2</v>
      </c>
      <c r="J7" s="5">
        <f t="shared" si="1"/>
        <v>29.208357877993535</v>
      </c>
      <c r="K7" s="8">
        <f t="shared" si="2"/>
        <v>0.35366198512647523</v>
      </c>
      <c r="L7" s="8">
        <f t="shared" si="3"/>
        <v>0.33324485444532309</v>
      </c>
      <c r="M7" s="8">
        <f t="shared" si="4"/>
        <v>0.15693257037313527</v>
      </c>
      <c r="N7" s="8">
        <f t="shared" si="5"/>
        <v>0.15616059005506641</v>
      </c>
    </row>
    <row r="8" spans="1:17" x14ac:dyDescent="0.2">
      <c r="A8" s="5">
        <v>7</v>
      </c>
      <c r="B8" s="5" t="s">
        <v>7</v>
      </c>
      <c r="C8" s="5">
        <v>4731145</v>
      </c>
      <c r="D8" s="6">
        <f t="shared" si="0"/>
        <v>0.72166491887047879</v>
      </c>
      <c r="E8" s="7">
        <v>29.775200000000002</v>
      </c>
      <c r="F8" s="5">
        <v>-95.310299999999998</v>
      </c>
      <c r="G8" s="5">
        <v>276645.08</v>
      </c>
      <c r="H8" s="5">
        <v>3296090.94</v>
      </c>
      <c r="I8" s="5">
        <v>96</v>
      </c>
      <c r="J8" s="5">
        <f t="shared" si="1"/>
        <v>1470.6106650979882</v>
      </c>
      <c r="K8" s="8">
        <f t="shared" si="2"/>
        <v>0.33716233098235854</v>
      </c>
      <c r="L8" s="8">
        <f t="shared" si="3"/>
        <v>0.34175189676238421</v>
      </c>
      <c r="M8" s="8">
        <f t="shared" si="4"/>
        <v>0.16093872980599896</v>
      </c>
      <c r="N8" s="8">
        <f t="shared" si="5"/>
        <v>0.16014704244925826</v>
      </c>
    </row>
    <row r="9" spans="1:17" x14ac:dyDescent="0.2">
      <c r="A9" s="5">
        <v>8</v>
      </c>
      <c r="B9" s="5" t="s">
        <v>15</v>
      </c>
      <c r="C9" s="5">
        <v>822779</v>
      </c>
      <c r="D9" s="6">
        <f t="shared" si="0"/>
        <v>0.12550254542681183</v>
      </c>
      <c r="E9" s="7">
        <v>29.569299999999998</v>
      </c>
      <c r="F9" s="5">
        <v>-95.814300000000003</v>
      </c>
      <c r="G9" s="5">
        <v>227345.41</v>
      </c>
      <c r="H9" s="5">
        <v>3274334.71</v>
      </c>
      <c r="I9" s="5">
        <v>29</v>
      </c>
      <c r="J9" s="5">
        <f t="shared" si="1"/>
        <v>319.30369151278546</v>
      </c>
      <c r="K9" s="8">
        <f t="shared" si="2"/>
        <v>0.46909368262198842</v>
      </c>
      <c r="L9" s="8">
        <f t="shared" si="3"/>
        <v>0.27372952601798917</v>
      </c>
      <c r="M9" s="8">
        <f t="shared" si="4"/>
        <v>0.12890545054783792</v>
      </c>
      <c r="N9" s="8">
        <f t="shared" si="5"/>
        <v>0.12827134081218447</v>
      </c>
    </row>
    <row r="10" spans="1:17" x14ac:dyDescent="0.2">
      <c r="A10" s="5">
        <v>9</v>
      </c>
      <c r="B10" s="5" t="s">
        <v>2</v>
      </c>
      <c r="C10" s="5">
        <v>664744</v>
      </c>
      <c r="D10" s="6">
        <f t="shared" si="0"/>
        <v>0.10139668617842774</v>
      </c>
      <c r="E10" s="7">
        <v>29.89</v>
      </c>
      <c r="F10" s="5">
        <v>-94.14</v>
      </c>
      <c r="G10" s="5">
        <v>389924.9</v>
      </c>
      <c r="H10" s="5">
        <v>3307142.32</v>
      </c>
      <c r="I10" s="9">
        <v>13</v>
      </c>
      <c r="J10" s="5">
        <f t="shared" si="1"/>
        <v>204.10404118298871</v>
      </c>
      <c r="K10" s="8">
        <f t="shared" si="2"/>
        <v>0.32897074208836574</v>
      </c>
      <c r="L10" s="8">
        <f t="shared" si="3"/>
        <v>0.34597539094938273</v>
      </c>
      <c r="M10" s="8">
        <f t="shared" si="4"/>
        <v>0.16292766913958567</v>
      </c>
      <c r="N10" s="8">
        <f t="shared" si="5"/>
        <v>0.16212619782266571</v>
      </c>
    </row>
    <row r="12" spans="1:17" x14ac:dyDescent="0.2">
      <c r="A12" s="14" t="s">
        <v>26</v>
      </c>
      <c r="B12" s="14"/>
      <c r="C12" s="14"/>
    </row>
    <row r="13" spans="1:17" x14ac:dyDescent="0.2">
      <c r="A13" s="13" t="s">
        <v>27</v>
      </c>
      <c r="B13" s="13" t="s">
        <v>28</v>
      </c>
      <c r="C13" s="13" t="s">
        <v>17</v>
      </c>
    </row>
    <row r="14" spans="1:17" x14ac:dyDescent="0.2">
      <c r="A14" s="13" t="s">
        <v>24</v>
      </c>
      <c r="B14" s="2">
        <v>7690.6</v>
      </c>
      <c r="C14" s="4">
        <f>B14/SUM($B$14:$B$17)</f>
        <v>0.54398970107657707</v>
      </c>
    </row>
    <row r="15" spans="1:17" x14ac:dyDescent="0.2">
      <c r="A15" s="13" t="s">
        <v>25</v>
      </c>
      <c r="B15" s="2">
        <v>3323.9</v>
      </c>
      <c r="C15" s="4">
        <f t="shared" ref="C15:C17" si="7">B15/SUM($B$14:$B$17)</f>
        <v>0.23511395306067595</v>
      </c>
    </row>
    <row r="16" spans="1:17" x14ac:dyDescent="0.2">
      <c r="A16" s="13" t="s">
        <v>22</v>
      </c>
      <c r="B16" s="2">
        <v>1565.3</v>
      </c>
      <c r="C16" s="4">
        <f t="shared" si="7"/>
        <v>0.11072050023342341</v>
      </c>
    </row>
    <row r="17" spans="1:3" x14ac:dyDescent="0.2">
      <c r="A17" s="13" t="s">
        <v>23</v>
      </c>
      <c r="B17" s="2">
        <v>1557.6</v>
      </c>
      <c r="C17" s="4">
        <f t="shared" si="7"/>
        <v>0.11017584562932363</v>
      </c>
    </row>
    <row r="19" spans="1:3" x14ac:dyDescent="0.2">
      <c r="A19" t="s">
        <v>10</v>
      </c>
    </row>
    <row r="20" spans="1:3" x14ac:dyDescent="0.2">
      <c r="A20" s="1" t="s">
        <v>11</v>
      </c>
    </row>
    <row r="22" spans="1:3" x14ac:dyDescent="0.2">
      <c r="A22" t="s">
        <v>14</v>
      </c>
    </row>
    <row r="23" spans="1:3" x14ac:dyDescent="0.2">
      <c r="A23" s="1" t="s">
        <v>13</v>
      </c>
    </row>
    <row r="25" spans="1:3" x14ac:dyDescent="0.2">
      <c r="A25" t="s">
        <v>14</v>
      </c>
    </row>
    <row r="26" spans="1:3" x14ac:dyDescent="0.2">
      <c r="A26" t="s">
        <v>16</v>
      </c>
    </row>
    <row r="28" spans="1:3" x14ac:dyDescent="0.2">
      <c r="A28" t="s">
        <v>18</v>
      </c>
    </row>
    <row r="29" spans="1:3" x14ac:dyDescent="0.2">
      <c r="A29" t="s">
        <v>19</v>
      </c>
    </row>
  </sheetData>
  <mergeCells count="2">
    <mergeCell ref="A12:C12"/>
    <mergeCell ref="P1:Q1"/>
  </mergeCells>
  <hyperlinks>
    <hyperlink ref="A23" r:id="rId1" xr:uid="{894EDCF5-CEDC-42C2-AE26-28275678DD3B}"/>
    <hyperlink ref="A20" r:id="rId2" xr:uid="{7EB39FD7-008B-401B-A66C-61C14A05A66C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Taguado Menza</dc:creator>
  <cp:lastModifiedBy>Stefano Marchetti</cp:lastModifiedBy>
  <dcterms:created xsi:type="dcterms:W3CDTF">2025-10-08T13:42:32Z</dcterms:created>
  <dcterms:modified xsi:type="dcterms:W3CDTF">2025-11-05T14:04:30Z</dcterms:modified>
</cp:coreProperties>
</file>