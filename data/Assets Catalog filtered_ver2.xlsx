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\Downloads\"/>
    </mc:Choice>
  </mc:AlternateContent>
  <xr:revisionPtr revIDLastSave="0" documentId="8_{4B8A9826-60C2-453D-868B-6D83942C6BC0}" xr6:coauthVersionLast="47" xr6:coauthVersionMax="47" xr10:uidLastSave="{00000000-0000-0000-0000-000000000000}"/>
  <bookViews>
    <workbookView xWindow="-108" yWindow="-108" windowWidth="23256" windowHeight="12456" xr2:uid="{76868B64-D7DA-4BDE-9DFD-E26DA47C7791}"/>
  </bookViews>
  <sheets>
    <sheet name="Electric Network" sheetId="1" r:id="rId1"/>
    <sheet name="Gas Networ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6" i="1" s="1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2" i="2"/>
  <c r="K2" i="2" s="1"/>
  <c r="J8" i="1"/>
  <c r="K8" i="1" s="1"/>
  <c r="J9" i="1"/>
  <c r="K9" i="1" s="1"/>
  <c r="J10" i="1"/>
  <c r="K10" i="1" s="1"/>
  <c r="J11" i="1"/>
  <c r="K11" i="1" s="1"/>
  <c r="J7" i="1"/>
  <c r="K7" i="1" s="1"/>
  <c r="J3" i="1"/>
  <c r="K3" i="1" s="1"/>
  <c r="J2" i="1"/>
  <c r="K2" i="1" s="1"/>
</calcChain>
</file>

<file path=xl/sharedStrings.xml><?xml version="1.0" encoding="utf-8"?>
<sst xmlns="http://schemas.openxmlformats.org/spreadsheetml/2006/main" count="135" uniqueCount="84">
  <si>
    <t>Asset type</t>
  </si>
  <si>
    <t>Location</t>
  </si>
  <si>
    <t>Name</t>
  </si>
  <si>
    <t>30.0242, -93.878</t>
  </si>
  <si>
    <t>Gas Power Station</t>
  </si>
  <si>
    <t>Lake Charles</t>
  </si>
  <si>
    <t xml:space="preserve">Sabine </t>
  </si>
  <si>
    <t>30.272631, -93.29906</t>
  </si>
  <si>
    <t xml:space="preserve">Cedar Bayou </t>
  </si>
  <si>
    <t>29.75, -94.9256</t>
  </si>
  <si>
    <t>30.2588, -93.7353</t>
  </si>
  <si>
    <t>Cottonwood</t>
  </si>
  <si>
    <t>Free Port</t>
  </si>
  <si>
    <t>28.991289, -95.40748</t>
  </si>
  <si>
    <t>Node</t>
  </si>
  <si>
    <t>Calcasieu Pass 2</t>
  </si>
  <si>
    <t>29.7742723, -93.3239475</t>
  </si>
  <si>
    <t>Porth Arthur</t>
  </si>
  <si>
    <t>29.888462, -93.95098</t>
  </si>
  <si>
    <t>Year</t>
  </si>
  <si>
    <t>Category</t>
  </si>
  <si>
    <t xml:space="preserve">Producer </t>
  </si>
  <si>
    <t>Power (MWe)</t>
  </si>
  <si>
    <t>Solar Power Station</t>
  </si>
  <si>
    <t>Roy S. Nelson</t>
  </si>
  <si>
    <t>30.284383, -93.288861</t>
  </si>
  <si>
    <t>Cottonwood Bayou</t>
  </si>
  <si>
    <t>29.2631, -95.2580</t>
  </si>
  <si>
    <t>Galveston</t>
  </si>
  <si>
    <t>28.8557, -94.5151</t>
  </si>
  <si>
    <t>Galveston 1</t>
  </si>
  <si>
    <t>28.3541, -94.7237</t>
  </si>
  <si>
    <t>Galveston 2</t>
  </si>
  <si>
    <t>29.3931, -93.5647</t>
  </si>
  <si>
    <t>Offshore Wind Farm</t>
  </si>
  <si>
    <t>29.378097, -94.93277</t>
  </si>
  <si>
    <t>Channelview</t>
  </si>
  <si>
    <t>29.836952, -95.12174</t>
  </si>
  <si>
    <t>Bacliff</t>
  </si>
  <si>
    <t>29.49233, -94.98483 </t>
  </si>
  <si>
    <t>Location GPS</t>
  </si>
  <si>
    <t>Easting (m)</t>
  </si>
  <si>
    <t>Northing (m)</t>
  </si>
  <si>
    <t>Coal Power Station</t>
  </si>
  <si>
    <t>Liberty 1</t>
  </si>
  <si>
    <t>29.9589, -94.8505</t>
  </si>
  <si>
    <t>Trinity river solar</t>
  </si>
  <si>
    <t>30.0103, -94.4863 </t>
  </si>
  <si>
    <t>Myrtle solar</t>
  </si>
  <si>
    <t>29.2285, -95.4274</t>
  </si>
  <si>
    <t>Red Bluff Road Solar</t>
  </si>
  <si>
    <t>29.6150, -95.0702</t>
  </si>
  <si>
    <t>Brazoria West</t>
  </si>
  <si>
    <t>29.1910, -95.6630</t>
  </si>
  <si>
    <t>Coal</t>
  </si>
  <si>
    <t>Natural Gas</t>
  </si>
  <si>
    <t>Solar</t>
  </si>
  <si>
    <t>Compressors</t>
  </si>
  <si>
    <t>Type of Asset</t>
  </si>
  <si>
    <t>Reference</t>
  </si>
  <si>
    <t>Scale (acres per MW)</t>
  </si>
  <si>
    <t>-</t>
  </si>
  <si>
    <t>Area (km^2)</t>
  </si>
  <si>
    <t>Area (acres)</t>
  </si>
  <si>
    <t>.</t>
  </si>
  <si>
    <t>1, 3</t>
  </si>
  <si>
    <t>2, 3</t>
  </si>
  <si>
    <t>1.55 - 2.27</t>
  </si>
  <si>
    <t>Line</t>
  </si>
  <si>
    <t>kV</t>
  </si>
  <si>
    <t>MW</t>
  </si>
  <si>
    <t>acre</t>
  </si>
  <si>
    <t>Capacity of (1) line 138 kV</t>
  </si>
  <si>
    <t>Area required for (4) lines</t>
  </si>
  <si>
    <t>Power given for (4) lines</t>
  </si>
  <si>
    <t>Substations^</t>
  </si>
  <si>
    <t>Area (km2)</t>
  </si>
  <si>
    <t>Land Required</t>
  </si>
  <si>
    <t>1) Natural Gas Supply Association (2013). Comparison of Fuels Used for Electric Generation in the U.S. Available online: http://www.ngsa. org/analyses-studies/beck-data-rev/ [Accessed 22 Oct. 2016].</t>
  </si>
  <si>
    <t>2) 170 Sklar, S. (2006, November 14). Environmental Footprints of Renewable Energy vs. Nuclear. Renewable Energy World.</t>
  </si>
  <si>
    <t>3) THE FOOTPRINT OF ENERGY: LAND USE OF U.S. ELECTRICITY PRODUCTION, STRATA Policy</t>
  </si>
  <si>
    <r>
      <t xml:space="preserve">4) Argonne National Laboratory (2005). </t>
    </r>
    <r>
      <rPr>
        <i/>
        <sz val="11"/>
        <color theme="1"/>
        <rFont val="Aptos Narrow"/>
        <family val="2"/>
        <scheme val="minor"/>
      </rPr>
      <t>Natural Gas Pipeline Technology, Environmental Science Division.</t>
    </r>
  </si>
  <si>
    <t>5) Transmission and Substation Project Cost Estimation Guide For MTEP 2018</t>
  </si>
  <si>
    <t>For substation, special considerations are requried for scaling^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</si>
</sst>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3" formatCode="0.000"/>
    <numFmt numFmtId="17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  <font>
      <b/>
      <sz val="11"/>
      <color theme="1"/>
      <name val="Aptos Narrow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73" fontId="0" fillId="0" borderId="1" xfId="0" applyNumberFormat="1" applyBorder="1" applyAlignment="1">
      <alignment horizontal="center"/>
    </xf>
    <xf numFmtId="174" fontId="0" fillId="0" borderId="1" xfId="0" applyNumberFormat="1" applyBorder="1"/>
    <xf numFmtId="174" fontId="0" fillId="2" borderId="1" xfId="0" applyNumberFormat="1" applyFill="1" applyBorder="1"/>
    <xf numFmtId="0" fontId="0" fillId="0" borderId="0" xfId="0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4469-A94B-4180-9AB2-255BB82391F3}">
  <dimension ref="A1:O25"/>
  <sheetViews>
    <sheetView tabSelected="1" topLeftCell="D1" zoomScale="111" zoomScaleNormal="101" workbookViewId="0">
      <selection activeCell="M9" sqref="M9:O9"/>
    </sheetView>
  </sheetViews>
  <sheetFormatPr defaultColWidth="8.77734375" defaultRowHeight="14.4" x14ac:dyDescent="0.3"/>
  <cols>
    <col min="1" max="3" width="18.33203125" customWidth="1"/>
    <col min="4" max="4" width="17.21875" bestFit="1" customWidth="1"/>
    <col min="5" max="5" width="18" customWidth="1"/>
    <col min="6" max="6" width="19.6640625" bestFit="1" customWidth="1"/>
    <col min="7" max="8" width="10.77734375"/>
    <col min="9" max="9" width="19.33203125" style="1" customWidth="1"/>
    <col min="10" max="10" width="11.21875" bestFit="1" customWidth="1"/>
    <col min="11" max="11" width="12.88671875" bestFit="1" customWidth="1"/>
    <col min="13" max="13" width="23.44140625" bestFit="1" customWidth="1"/>
    <col min="14" max="14" width="18.33203125" bestFit="1" customWidth="1"/>
    <col min="15" max="15" width="18.33203125" customWidth="1"/>
  </cols>
  <sheetData>
    <row r="1" spans="1:15" x14ac:dyDescent="0.3">
      <c r="A1" s="4" t="s">
        <v>14</v>
      </c>
      <c r="B1" s="4" t="s">
        <v>20</v>
      </c>
      <c r="C1" s="4" t="s">
        <v>2</v>
      </c>
      <c r="D1" s="4" t="s">
        <v>0</v>
      </c>
      <c r="E1" s="4" t="s">
        <v>22</v>
      </c>
      <c r="F1" s="4" t="s">
        <v>1</v>
      </c>
      <c r="G1" s="5" t="s">
        <v>41</v>
      </c>
      <c r="H1" s="5" t="s">
        <v>42</v>
      </c>
      <c r="I1" s="4" t="s">
        <v>19</v>
      </c>
      <c r="J1" s="12" t="s">
        <v>63</v>
      </c>
      <c r="K1" s="12" t="s">
        <v>62</v>
      </c>
      <c r="M1" s="18" t="s">
        <v>77</v>
      </c>
      <c r="N1" s="19"/>
      <c r="O1" s="20"/>
    </row>
    <row r="2" spans="1:15" x14ac:dyDescent="0.3">
      <c r="A2" s="6"/>
      <c r="B2" s="6" t="s">
        <v>21</v>
      </c>
      <c r="C2" s="6" t="s">
        <v>24</v>
      </c>
      <c r="D2" s="6" t="s">
        <v>43</v>
      </c>
      <c r="E2" s="7">
        <v>841</v>
      </c>
      <c r="F2" s="8" t="s">
        <v>25</v>
      </c>
      <c r="G2" s="6">
        <v>472219.745</v>
      </c>
      <c r="H2" s="6">
        <v>3350333.29</v>
      </c>
      <c r="I2" s="7">
        <v>1982</v>
      </c>
      <c r="J2" s="15">
        <f>E2*N3</f>
        <v>587.85899999999992</v>
      </c>
      <c r="K2" s="15">
        <f>J2*0.0040468</f>
        <v>2.3789478011999994</v>
      </c>
      <c r="M2" s="21" t="s">
        <v>58</v>
      </c>
      <c r="N2" s="4" t="s">
        <v>60</v>
      </c>
      <c r="O2" s="22" t="s">
        <v>59</v>
      </c>
    </row>
    <row r="3" spans="1:15" x14ac:dyDescent="0.3">
      <c r="A3" s="6"/>
      <c r="B3" s="6" t="s">
        <v>21</v>
      </c>
      <c r="C3" s="6" t="s">
        <v>26</v>
      </c>
      <c r="D3" s="6" t="s">
        <v>23</v>
      </c>
      <c r="E3" s="7">
        <v>428</v>
      </c>
      <c r="F3" s="8" t="s">
        <v>27</v>
      </c>
      <c r="G3" s="6">
        <v>280600.32900000003</v>
      </c>
      <c r="H3" s="6">
        <v>3239249.39</v>
      </c>
      <c r="I3" s="7">
        <v>2024</v>
      </c>
      <c r="J3" s="15">
        <f>E3*N5</f>
        <v>13416.516000000001</v>
      </c>
      <c r="K3" s="15">
        <f t="shared" ref="K3:K11" si="0">J3*0.0040468</f>
        <v>54.293956948800002</v>
      </c>
      <c r="M3" s="23" t="s">
        <v>54</v>
      </c>
      <c r="N3" s="7">
        <v>0.69899999999999995</v>
      </c>
      <c r="O3" s="24" t="s">
        <v>65</v>
      </c>
    </row>
    <row r="4" spans="1:15" s="3" customFormat="1" x14ac:dyDescent="0.3">
      <c r="A4" s="9"/>
      <c r="B4" s="9" t="s">
        <v>21</v>
      </c>
      <c r="C4" s="9" t="s">
        <v>30</v>
      </c>
      <c r="D4" s="9" t="s">
        <v>34</v>
      </c>
      <c r="E4" s="10">
        <v>1659</v>
      </c>
      <c r="F4" s="11" t="s">
        <v>29</v>
      </c>
      <c r="G4" s="9">
        <v>352215.60499999998</v>
      </c>
      <c r="H4" s="9">
        <v>3192941.72</v>
      </c>
      <c r="I4" s="10">
        <v>2027</v>
      </c>
      <c r="J4" s="16" t="s">
        <v>61</v>
      </c>
      <c r="K4" s="15" t="s">
        <v>61</v>
      </c>
      <c r="M4" s="23" t="s">
        <v>55</v>
      </c>
      <c r="N4" s="10">
        <v>0.34300000000000003</v>
      </c>
      <c r="O4" s="25" t="s">
        <v>65</v>
      </c>
    </row>
    <row r="5" spans="1:15" s="3" customFormat="1" x14ac:dyDescent="0.3">
      <c r="A5" s="9"/>
      <c r="B5" s="9" t="s">
        <v>21</v>
      </c>
      <c r="C5" s="9" t="s">
        <v>32</v>
      </c>
      <c r="D5" s="9" t="s">
        <v>34</v>
      </c>
      <c r="E5" s="10">
        <v>1567</v>
      </c>
      <c r="F5" s="11" t="s">
        <v>31</v>
      </c>
      <c r="G5" s="9">
        <v>331064.61700000003</v>
      </c>
      <c r="H5" s="9">
        <v>3137635.929</v>
      </c>
      <c r="I5" s="10">
        <v>2027</v>
      </c>
      <c r="J5" s="16" t="s">
        <v>61</v>
      </c>
      <c r="K5" s="15" t="s">
        <v>61</v>
      </c>
      <c r="M5" s="26" t="s">
        <v>56</v>
      </c>
      <c r="N5" s="10">
        <v>31.347000000000001</v>
      </c>
      <c r="O5" s="25" t="s">
        <v>66</v>
      </c>
    </row>
    <row r="6" spans="1:15" s="3" customFormat="1" x14ac:dyDescent="0.3">
      <c r="A6" s="9"/>
      <c r="B6" s="9" t="s">
        <v>21</v>
      </c>
      <c r="C6" s="9" t="s">
        <v>5</v>
      </c>
      <c r="D6" s="9" t="s">
        <v>34</v>
      </c>
      <c r="E6" s="10">
        <v>1659</v>
      </c>
      <c r="F6" s="11" t="s">
        <v>33</v>
      </c>
      <c r="G6" s="9">
        <v>445207.18900000001</v>
      </c>
      <c r="H6" s="9">
        <v>3251671.531</v>
      </c>
      <c r="I6" s="10">
        <v>2027</v>
      </c>
      <c r="J6" s="16" t="s">
        <v>61</v>
      </c>
      <c r="K6" s="15" t="s">
        <v>64</v>
      </c>
      <c r="M6" s="26" t="s">
        <v>75</v>
      </c>
      <c r="N6" s="14">
        <f>N12/N13</f>
        <v>2.5000000000000001E-3</v>
      </c>
      <c r="O6" s="25">
        <v>5</v>
      </c>
    </row>
    <row r="7" spans="1:15" x14ac:dyDescent="0.3">
      <c r="A7" s="6"/>
      <c r="B7" s="9" t="s">
        <v>21</v>
      </c>
      <c r="C7" s="9" t="s">
        <v>44</v>
      </c>
      <c r="D7" s="6" t="s">
        <v>23</v>
      </c>
      <c r="E7" s="10">
        <v>259</v>
      </c>
      <c r="F7" s="11" t="s">
        <v>45</v>
      </c>
      <c r="G7" s="6">
        <v>321434.38299999997</v>
      </c>
      <c r="H7" s="6">
        <v>3315671.4759999998</v>
      </c>
      <c r="I7" s="7">
        <v>2024</v>
      </c>
      <c r="J7" s="15">
        <f>E7*$N$5</f>
        <v>8118.8730000000005</v>
      </c>
      <c r="K7" s="15">
        <f t="shared" si="0"/>
        <v>32.855455256399999</v>
      </c>
      <c r="M7" s="26" t="s">
        <v>57</v>
      </c>
      <c r="N7" s="7" t="s">
        <v>67</v>
      </c>
      <c r="O7" s="24">
        <v>4</v>
      </c>
    </row>
    <row r="8" spans="1:15" x14ac:dyDescent="0.3">
      <c r="A8" s="6"/>
      <c r="B8" s="9" t="s">
        <v>21</v>
      </c>
      <c r="C8" s="9" t="s">
        <v>46</v>
      </c>
      <c r="D8" s="6" t="s">
        <v>23</v>
      </c>
      <c r="E8" s="10">
        <v>409</v>
      </c>
      <c r="F8" s="11" t="s">
        <v>47</v>
      </c>
      <c r="G8" s="6">
        <v>356656.51699999999</v>
      </c>
      <c r="H8" s="6">
        <v>3320856.71</v>
      </c>
      <c r="I8" s="7">
        <v>2025</v>
      </c>
      <c r="J8" s="15">
        <f>E8*$N$5</f>
        <v>12820.923000000001</v>
      </c>
      <c r="K8" s="15">
        <f t="shared" si="0"/>
        <v>51.8837111964</v>
      </c>
      <c r="M8" s="27"/>
      <c r="N8" s="28"/>
      <c r="O8" s="29"/>
    </row>
    <row r="9" spans="1:15" x14ac:dyDescent="0.3">
      <c r="A9" s="6"/>
      <c r="B9" s="9" t="s">
        <v>21</v>
      </c>
      <c r="C9" s="9" t="s">
        <v>48</v>
      </c>
      <c r="D9" s="6" t="s">
        <v>23</v>
      </c>
      <c r="E9" s="10">
        <v>538</v>
      </c>
      <c r="F9" s="11" t="s">
        <v>49</v>
      </c>
      <c r="G9" s="6">
        <v>264056.06400000001</v>
      </c>
      <c r="H9" s="6">
        <v>3235743.32</v>
      </c>
      <c r="I9" s="7">
        <v>2023</v>
      </c>
      <c r="J9" s="15">
        <f>E9*$N$5</f>
        <v>16864.686000000002</v>
      </c>
      <c r="K9" s="15">
        <f t="shared" si="0"/>
        <v>68.248011304800002</v>
      </c>
      <c r="M9" s="30" t="s">
        <v>83</v>
      </c>
      <c r="N9" s="13"/>
      <c r="O9" s="31"/>
    </row>
    <row r="10" spans="1:15" x14ac:dyDescent="0.3">
      <c r="A10" s="6"/>
      <c r="B10" s="9" t="s">
        <v>21</v>
      </c>
      <c r="C10" s="9" t="s">
        <v>50</v>
      </c>
      <c r="D10" s="6" t="s">
        <v>23</v>
      </c>
      <c r="E10" s="10">
        <v>360</v>
      </c>
      <c r="F10" s="11" t="s">
        <v>51</v>
      </c>
      <c r="G10" s="6">
        <v>299545.32500000001</v>
      </c>
      <c r="H10" s="6">
        <v>3277915.5559999999</v>
      </c>
      <c r="I10" s="7">
        <v>2100</v>
      </c>
      <c r="J10" s="15">
        <f>E10*$N$5</f>
        <v>11284.92</v>
      </c>
      <c r="K10" s="15">
        <f t="shared" si="0"/>
        <v>45.667814256</v>
      </c>
      <c r="M10" s="32" t="s">
        <v>68</v>
      </c>
      <c r="N10" s="6">
        <v>138</v>
      </c>
      <c r="O10" s="33" t="s">
        <v>69</v>
      </c>
    </row>
    <row r="11" spans="1:15" x14ac:dyDescent="0.3">
      <c r="A11" s="6"/>
      <c r="B11" s="9" t="s">
        <v>21</v>
      </c>
      <c r="C11" s="9" t="s">
        <v>52</v>
      </c>
      <c r="D11" s="6" t="s">
        <v>23</v>
      </c>
      <c r="E11" s="10">
        <v>540</v>
      </c>
      <c r="F11" s="11" t="s">
        <v>53</v>
      </c>
      <c r="G11" s="6">
        <v>241053.016</v>
      </c>
      <c r="H11" s="6">
        <v>3232083.39</v>
      </c>
      <c r="I11" s="7">
        <v>2022</v>
      </c>
      <c r="J11" s="15">
        <f>E11*$N$5</f>
        <v>16927.38</v>
      </c>
      <c r="K11" s="15">
        <f t="shared" si="0"/>
        <v>68.501721383999993</v>
      </c>
      <c r="M11" s="32" t="s">
        <v>72</v>
      </c>
      <c r="N11" s="6">
        <v>200</v>
      </c>
      <c r="O11" s="33" t="s">
        <v>70</v>
      </c>
    </row>
    <row r="12" spans="1:15" x14ac:dyDescent="0.3">
      <c r="M12" s="32" t="s">
        <v>73</v>
      </c>
      <c r="N12" s="6">
        <v>2</v>
      </c>
      <c r="O12" s="33" t="s">
        <v>71</v>
      </c>
    </row>
    <row r="13" spans="1:15" x14ac:dyDescent="0.3">
      <c r="M13" s="32" t="s">
        <v>74</v>
      </c>
      <c r="N13" s="6">
        <f>800</f>
        <v>800</v>
      </c>
      <c r="O13" s="33" t="s">
        <v>70</v>
      </c>
    </row>
    <row r="14" spans="1:15" x14ac:dyDescent="0.3">
      <c r="M14" s="27"/>
      <c r="N14" s="28"/>
      <c r="O14" s="29"/>
    </row>
    <row r="15" spans="1:15" x14ac:dyDescent="0.3">
      <c r="M15" s="27"/>
      <c r="N15" s="28"/>
      <c r="O15" s="29"/>
    </row>
    <row r="16" spans="1:15" s="17" customFormat="1" ht="49.8" customHeight="1" x14ac:dyDescent="0.3">
      <c r="M16" s="34" t="s">
        <v>78</v>
      </c>
      <c r="N16" s="35"/>
      <c r="O16" s="36"/>
    </row>
    <row r="17" spans="13:15" s="17" customFormat="1" ht="49.8" customHeight="1" x14ac:dyDescent="0.3">
      <c r="M17" s="34" t="s">
        <v>79</v>
      </c>
      <c r="N17" s="35"/>
      <c r="O17" s="36"/>
    </row>
    <row r="18" spans="13:15" s="17" customFormat="1" ht="49.8" customHeight="1" x14ac:dyDescent="0.3">
      <c r="M18" s="34" t="s">
        <v>80</v>
      </c>
      <c r="N18" s="35"/>
      <c r="O18" s="36"/>
    </row>
    <row r="19" spans="13:15" s="17" customFormat="1" ht="49.8" customHeight="1" x14ac:dyDescent="0.3">
      <c r="M19" s="34" t="s">
        <v>81</v>
      </c>
      <c r="N19" s="35"/>
      <c r="O19" s="36"/>
    </row>
    <row r="20" spans="13:15" s="17" customFormat="1" ht="49.8" customHeight="1" thickBot="1" x14ac:dyDescent="0.35">
      <c r="M20" s="37" t="s">
        <v>82</v>
      </c>
      <c r="N20" s="38"/>
      <c r="O20" s="39"/>
    </row>
    <row r="21" spans="13:15" ht="51.6" customHeight="1" x14ac:dyDescent="0.3"/>
    <row r="22" spans="13:15" ht="34.799999999999997" customHeight="1" x14ac:dyDescent="0.3"/>
    <row r="23" spans="13:15" ht="30.6" customHeight="1" x14ac:dyDescent="0.3"/>
    <row r="24" spans="13:15" ht="34.799999999999997" customHeight="1" x14ac:dyDescent="0.3"/>
    <row r="25" spans="13:15" ht="27.6" customHeight="1" x14ac:dyDescent="0.3"/>
  </sheetData>
  <mergeCells count="7">
    <mergeCell ref="M18:O18"/>
    <mergeCell ref="M19:O19"/>
    <mergeCell ref="M20:O20"/>
    <mergeCell ref="M1:O1"/>
    <mergeCell ref="M9:O9"/>
    <mergeCell ref="M16:O16"/>
    <mergeCell ref="M17:O17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46A6-010E-4C97-A0C3-C400E324B149}">
  <dimension ref="A1:L11"/>
  <sheetViews>
    <sheetView topLeftCell="G1" zoomScale="116" zoomScaleNormal="170" workbookViewId="0">
      <selection activeCell="J11" sqref="J11"/>
    </sheetView>
  </sheetViews>
  <sheetFormatPr defaultColWidth="8.77734375" defaultRowHeight="14.4" x14ac:dyDescent="0.3"/>
  <cols>
    <col min="1" max="1" width="17.6640625" customWidth="1"/>
    <col min="2" max="2" width="19.6640625" customWidth="1"/>
    <col min="3" max="3" width="19.109375" customWidth="1"/>
    <col min="4" max="4" width="18" customWidth="1"/>
    <col min="5" max="5" width="21" customWidth="1"/>
    <col min="6" max="6" width="20" customWidth="1"/>
    <col min="7" max="8" width="10.77734375"/>
    <col min="9" max="9" width="23.6640625" customWidth="1"/>
    <col min="10" max="10" width="11.44140625" customWidth="1"/>
    <col min="11" max="11" width="10.109375" bestFit="1" customWidth="1"/>
  </cols>
  <sheetData>
    <row r="1" spans="1:12" s="2" customFormat="1" x14ac:dyDescent="0.3">
      <c r="A1" s="4" t="s">
        <v>14</v>
      </c>
      <c r="B1" s="4" t="s">
        <v>20</v>
      </c>
      <c r="C1" s="4" t="s">
        <v>2</v>
      </c>
      <c r="D1" s="4" t="s">
        <v>0</v>
      </c>
      <c r="E1" s="4" t="s">
        <v>22</v>
      </c>
      <c r="F1" s="4" t="s">
        <v>40</v>
      </c>
      <c r="G1" s="5" t="s">
        <v>41</v>
      </c>
      <c r="H1" s="5" t="s">
        <v>42</v>
      </c>
      <c r="I1" s="4" t="s">
        <v>19</v>
      </c>
      <c r="J1" s="4" t="s">
        <v>63</v>
      </c>
      <c r="K1" s="4" t="s">
        <v>76</v>
      </c>
      <c r="L1"/>
    </row>
    <row r="2" spans="1:12" x14ac:dyDescent="0.3">
      <c r="A2" s="6"/>
      <c r="B2" s="6" t="s">
        <v>21</v>
      </c>
      <c r="C2" s="6" t="s">
        <v>6</v>
      </c>
      <c r="D2" s="6" t="s">
        <v>4</v>
      </c>
      <c r="E2" s="7">
        <v>1811</v>
      </c>
      <c r="F2" s="8" t="s">
        <v>3</v>
      </c>
      <c r="G2" s="6">
        <v>415337.81900000002</v>
      </c>
      <c r="H2" s="6">
        <v>3321791.5079999999</v>
      </c>
      <c r="I2" s="7">
        <v>1962</v>
      </c>
      <c r="J2" s="9">
        <f>E2*'Electric Network'!$N$4</f>
        <v>621.173</v>
      </c>
      <c r="K2" s="6">
        <f>J2*0.0040468</f>
        <v>2.5137628963999998</v>
      </c>
    </row>
    <row r="3" spans="1:12" x14ac:dyDescent="0.3">
      <c r="A3" s="6"/>
      <c r="B3" s="6" t="s">
        <v>21</v>
      </c>
      <c r="C3" s="6" t="s">
        <v>5</v>
      </c>
      <c r="D3" s="6" t="s">
        <v>4</v>
      </c>
      <c r="E3" s="7">
        <v>2444</v>
      </c>
      <c r="F3" s="8" t="s">
        <v>7</v>
      </c>
      <c r="G3" s="6">
        <v>471235.45799999998</v>
      </c>
      <c r="H3" s="6">
        <v>3349033.5469999998</v>
      </c>
      <c r="I3" s="7">
        <v>2020</v>
      </c>
      <c r="J3" s="9">
        <f>E3*'Electric Network'!$N$4</f>
        <v>838.29200000000003</v>
      </c>
      <c r="K3" s="6">
        <f t="shared" ref="K3:K11" si="0">J3*0.0040468</f>
        <v>3.3924000656</v>
      </c>
    </row>
    <row r="4" spans="1:12" s="3" customFormat="1" x14ac:dyDescent="0.3">
      <c r="A4" s="9"/>
      <c r="B4" s="9" t="s">
        <v>21</v>
      </c>
      <c r="C4" s="9" t="s">
        <v>8</v>
      </c>
      <c r="D4" s="9" t="s">
        <v>4</v>
      </c>
      <c r="E4" s="10">
        <v>1530</v>
      </c>
      <c r="F4" s="11" t="s">
        <v>9</v>
      </c>
      <c r="G4" s="9">
        <v>313798.67800000001</v>
      </c>
      <c r="H4" s="9">
        <v>3292636.8509999998</v>
      </c>
      <c r="I4" s="10">
        <v>1970</v>
      </c>
      <c r="J4" s="9">
        <f>E4*'Electric Network'!$N$4</f>
        <v>524.79000000000008</v>
      </c>
      <c r="K4" s="6">
        <f t="shared" si="0"/>
        <v>2.1237201720000001</v>
      </c>
    </row>
    <row r="5" spans="1:12" x14ac:dyDescent="0.3">
      <c r="A5" s="6"/>
      <c r="B5" s="6" t="s">
        <v>21</v>
      </c>
      <c r="C5" s="6" t="s">
        <v>11</v>
      </c>
      <c r="D5" s="6" t="s">
        <v>4</v>
      </c>
      <c r="E5" s="7">
        <v>1432</v>
      </c>
      <c r="F5" s="8" t="s">
        <v>10</v>
      </c>
      <c r="G5" s="6">
        <v>429265.78899999999</v>
      </c>
      <c r="H5" s="6">
        <v>3347691.7760000001</v>
      </c>
      <c r="I5" s="7">
        <v>2003</v>
      </c>
      <c r="J5" s="9">
        <f>E5*'Electric Network'!$N$4</f>
        <v>491.17600000000004</v>
      </c>
      <c r="K5" s="6">
        <f t="shared" si="0"/>
        <v>1.9876910368</v>
      </c>
    </row>
    <row r="6" spans="1:12" s="3" customFormat="1" x14ac:dyDescent="0.3">
      <c r="A6" s="9"/>
      <c r="B6" s="9" t="s">
        <v>21</v>
      </c>
      <c r="C6" s="9" t="s">
        <v>36</v>
      </c>
      <c r="D6" s="9" t="s">
        <v>4</v>
      </c>
      <c r="E6" s="10">
        <v>918</v>
      </c>
      <c r="F6" s="11" t="s">
        <v>37</v>
      </c>
      <c r="G6" s="9">
        <v>295005.56199999998</v>
      </c>
      <c r="H6" s="9">
        <v>3302607.5269999998</v>
      </c>
      <c r="I6" s="10">
        <v>2002</v>
      </c>
      <c r="J6" s="9">
        <f>E6*'Electric Network'!$N$4</f>
        <v>314.87400000000002</v>
      </c>
      <c r="K6" s="6">
        <f t="shared" si="0"/>
        <v>1.2742321031999999</v>
      </c>
    </row>
    <row r="7" spans="1:12" x14ac:dyDescent="0.3">
      <c r="A7" s="6"/>
      <c r="B7" s="6" t="s">
        <v>21</v>
      </c>
      <c r="C7" s="6" t="s">
        <v>38</v>
      </c>
      <c r="D7" s="6" t="s">
        <v>4</v>
      </c>
      <c r="E7" s="7">
        <v>1036</v>
      </c>
      <c r="F7" s="8" t="s">
        <v>39</v>
      </c>
      <c r="G7" s="6">
        <v>307580.92099999997</v>
      </c>
      <c r="H7" s="6">
        <v>3264174.781</v>
      </c>
      <c r="I7" s="7">
        <v>2018</v>
      </c>
      <c r="J7" s="9">
        <f>E7*'Electric Network'!$N$4</f>
        <v>355.34800000000001</v>
      </c>
      <c r="K7" s="6">
        <f t="shared" si="0"/>
        <v>1.4380222863999998</v>
      </c>
    </row>
    <row r="8" spans="1:12" x14ac:dyDescent="0.3">
      <c r="A8" s="6"/>
      <c r="B8" s="6" t="s">
        <v>21</v>
      </c>
      <c r="C8" s="6" t="s">
        <v>28</v>
      </c>
      <c r="D8" s="6" t="s">
        <v>4</v>
      </c>
      <c r="E8" s="7">
        <v>1630</v>
      </c>
      <c r="F8" s="8" t="s">
        <v>35</v>
      </c>
      <c r="G8" s="6">
        <v>312418.91200000001</v>
      </c>
      <c r="H8" s="6">
        <v>3251429.1749999998</v>
      </c>
      <c r="I8" s="7">
        <v>1986</v>
      </c>
      <c r="J8" s="9">
        <f>E8*'Electric Network'!$N$4</f>
        <v>559.09</v>
      </c>
      <c r="K8" s="6">
        <f t="shared" si="0"/>
        <v>2.262525412</v>
      </c>
    </row>
    <row r="9" spans="1:12" x14ac:dyDescent="0.3">
      <c r="A9" s="6"/>
      <c r="B9" s="6" t="s">
        <v>21</v>
      </c>
      <c r="C9" s="6" t="s">
        <v>12</v>
      </c>
      <c r="D9" s="6" t="s">
        <v>4</v>
      </c>
      <c r="E9" s="7">
        <v>1344</v>
      </c>
      <c r="F9" s="8" t="s">
        <v>13</v>
      </c>
      <c r="G9" s="6">
        <v>265455.09700000001</v>
      </c>
      <c r="H9" s="6">
        <v>3209409.7080000001</v>
      </c>
      <c r="I9" s="7">
        <v>1978</v>
      </c>
      <c r="J9" s="9">
        <f>E9*'Electric Network'!$N$4</f>
        <v>460.99200000000002</v>
      </c>
      <c r="K9" s="6">
        <f t="shared" si="0"/>
        <v>1.8655424255999999</v>
      </c>
    </row>
    <row r="10" spans="1:12" x14ac:dyDescent="0.3">
      <c r="A10" s="6"/>
      <c r="B10" s="6" t="s">
        <v>21</v>
      </c>
      <c r="C10" s="6" t="s">
        <v>17</v>
      </c>
      <c r="D10" s="6" t="s">
        <v>4</v>
      </c>
      <c r="E10" s="7">
        <v>888</v>
      </c>
      <c r="F10" s="8" t="s">
        <v>18</v>
      </c>
      <c r="G10" s="6">
        <v>408175.647</v>
      </c>
      <c r="H10" s="6">
        <v>3306805.8990000002</v>
      </c>
      <c r="I10" s="7">
        <v>2011</v>
      </c>
      <c r="J10" s="9">
        <f>E10*'Electric Network'!$N$4</f>
        <v>304.584</v>
      </c>
      <c r="K10" s="6">
        <f t="shared" si="0"/>
        <v>1.2325905311999998</v>
      </c>
    </row>
    <row r="11" spans="1:12" x14ac:dyDescent="0.3">
      <c r="A11" s="6"/>
      <c r="B11" s="6" t="s">
        <v>21</v>
      </c>
      <c r="C11" s="6" t="s">
        <v>15</v>
      </c>
      <c r="D11" s="6" t="s">
        <v>4</v>
      </c>
      <c r="E11" s="7">
        <v>1400</v>
      </c>
      <c r="F11" s="8" t="s">
        <v>16</v>
      </c>
      <c r="G11" s="6">
        <v>468685.46100000001</v>
      </c>
      <c r="H11" s="6">
        <v>3293817.284</v>
      </c>
      <c r="I11" s="7">
        <v>2027</v>
      </c>
      <c r="J11" s="9">
        <f>E11*'Electric Network'!$N$4</f>
        <v>480.20000000000005</v>
      </c>
      <c r="K11" s="6">
        <f t="shared" si="0"/>
        <v>1.9432733600000001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 Network</vt:lpstr>
      <vt:lpstr>Gas 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Matteo Coscia</dc:creator>
  <cp:lastModifiedBy>Santiago Taguado Menza</cp:lastModifiedBy>
  <dcterms:created xsi:type="dcterms:W3CDTF">2025-10-07T15:39:47Z</dcterms:created>
  <dcterms:modified xsi:type="dcterms:W3CDTF">2025-11-06T17:14:59Z</dcterms:modified>
</cp:coreProperties>
</file>