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99872_polimi_it/Documents/Python/Cursor/Budget_allocation_optimization/data/"/>
    </mc:Choice>
  </mc:AlternateContent>
  <xr:revisionPtr revIDLastSave="6" documentId="8_{6B277605-74EF-4207-AC0E-B5264A15A9D6}" xr6:coauthVersionLast="47" xr6:coauthVersionMax="47" xr10:uidLastSave="{7B2069DF-BF44-AD43-B253-8AF025A8A1DF}"/>
  <bookViews>
    <workbookView xWindow="0" yWindow="500" windowWidth="38400" windowHeight="19480" xr2:uid="{F05CF47E-1EE5-4445-B575-868BF6716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3" i="1"/>
  <c r="D4" i="1"/>
  <c r="D5" i="1"/>
  <c r="D6" i="1"/>
  <c r="D7" i="1"/>
  <c r="D8" i="1"/>
  <c r="D9" i="1"/>
  <c r="D10" i="1"/>
  <c r="D2" i="1"/>
  <c r="D12" i="1" s="1"/>
  <c r="A2" i="1"/>
  <c r="A3" i="1" l="1"/>
  <c r="A4" i="1" s="1"/>
  <c r="A5" i="1" s="1"/>
</calcChain>
</file>

<file path=xl/sharedStrings.xml><?xml version="1.0" encoding="utf-8"?>
<sst xmlns="http://schemas.openxmlformats.org/spreadsheetml/2006/main" count="24" uniqueCount="23">
  <si>
    <t>County</t>
  </si>
  <si>
    <t>Chambers</t>
  </si>
  <si>
    <t>Jefferson</t>
  </si>
  <si>
    <t>Galveston</t>
  </si>
  <si>
    <t>Orange</t>
  </si>
  <si>
    <t>Hardin</t>
  </si>
  <si>
    <t>Liberty</t>
  </si>
  <si>
    <t>Harris</t>
  </si>
  <si>
    <t>Brazoria</t>
  </si>
  <si>
    <t>Index</t>
  </si>
  <si>
    <t>Overview of Texas Generation</t>
  </si>
  <si>
    <t>https://www.eia.gov/beta/states/states/tx/overview</t>
  </si>
  <si>
    <t>Population Size</t>
  </si>
  <si>
    <t>https://www.gridinfo.com/counties?s=nueces</t>
  </si>
  <si>
    <t>County Information</t>
  </si>
  <si>
    <t>Fort Bend</t>
  </si>
  <si>
    <t>https://www.gridinfo.com/texas/nueces-county</t>
  </si>
  <si>
    <t>Percentage</t>
  </si>
  <si>
    <t>Counties</t>
  </si>
  <si>
    <t>https://ktb.org/wp-content/uploads/2020-Census-Data-Texas-County-and-City-FOR-WEB.xlsx-2020-Census-Data-Texas-by-Count.pdf?utm_source=chatgpt.com</t>
  </si>
  <si>
    <t>Latitude</t>
  </si>
  <si>
    <t>Longitude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</si>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</sst>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1"/>
      <color rgb="FF001C3B"/>
      <name val="Aptos"/>
      <family val="2"/>
    </font>
    <font>
      <sz val="11"/>
      <color rgb="FF474747"/>
      <name val="Aptos"/>
      <family val="2"/>
    </font>
    <font>
      <sz val="11"/>
      <color rgb="FF370E00"/>
      <name val="Aptos"/>
      <family val="2"/>
    </font>
    <font>
      <sz val="11"/>
      <color rgb="FF410007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2"/>
    <xf numFmtId="0" fontId="3" fillId="0" borderId="0" xfId="0" applyFont="1"/>
    <xf numFmtId="9" fontId="3" fillId="0" borderId="0" xfId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9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beta/states/states/tx/overview" TargetMode="External"/><Relationship Id="rId1" Type="http://schemas.openxmlformats.org/officeDocument/2006/relationships/hyperlink" Target="https://www.gridinfo.com/counties?s=nue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56E6-2548-4002-B4C1-C2147C888BBD}">
  <dimension ref="A1:F27"/>
  <sheetViews>
    <sheetView tabSelected="1" topLeftCell="A2" zoomScale="167" zoomScaleNormal="167" workbookViewId="0">
      <selection activeCell="C13" sqref="C13"/>
    </sheetView>
  </sheetViews>
  <sheetFormatPr baseColWidth="10" defaultColWidth="8.83203125" defaultRowHeight="15" x14ac:dyDescent="0.2"/>
  <cols>
    <col min="3" max="3" width="13.1640625" bestFit="1" customWidth="1"/>
    <col min="5" max="5" width="11" bestFit="1" customWidth="1"/>
    <col min="6" max="6" width="9.5" bestFit="1" customWidth="1"/>
  </cols>
  <sheetData>
    <row r="1" spans="1:6" x14ac:dyDescent="0.2">
      <c r="A1" s="2" t="s">
        <v>9</v>
      </c>
      <c r="B1" s="2" t="s">
        <v>0</v>
      </c>
      <c r="C1" s="2" t="s">
        <v>12</v>
      </c>
      <c r="D1" s="2" t="s">
        <v>17</v>
      </c>
      <c r="E1" s="2" t="s">
        <v>20</v>
      </c>
      <c r="F1" s="2" t="s">
        <v>21</v>
      </c>
    </row>
    <row r="2" spans="1:6" x14ac:dyDescent="0.2">
      <c r="A2" s="2">
        <f>1</f>
        <v>1</v>
      </c>
      <c r="B2" s="2" t="s">
        <v>8</v>
      </c>
      <c r="C2" s="2">
        <v>372031</v>
      </c>
      <c r="D2" s="3">
        <f>C2/SUM($C$2:$C$10)</f>
        <v>5.461084865673644E-2</v>
      </c>
      <c r="E2" s="4">
        <v>29.166699999999999</v>
      </c>
      <c r="F2" s="2">
        <v>-95.433300000000003</v>
      </c>
    </row>
    <row r="3" spans="1:6" x14ac:dyDescent="0.2">
      <c r="A3" s="2">
        <f>A2+1</f>
        <v>2</v>
      </c>
      <c r="B3" s="2" t="s">
        <v>3</v>
      </c>
      <c r="C3" s="2">
        <v>350682</v>
      </c>
      <c r="D3" s="3">
        <f t="shared" ref="D3:D10" si="0">C3/SUM($C$2:$C$10)</f>
        <v>5.1477004950237076E-2</v>
      </c>
      <c r="E3" s="5">
        <v>29.301200000000001</v>
      </c>
      <c r="F3" s="2">
        <v>-94.795000000000002</v>
      </c>
    </row>
    <row r="4" spans="1:6" x14ac:dyDescent="0.2">
      <c r="A4" s="2">
        <f t="shared" ref="A4:A5" si="1">A3+1</f>
        <v>3</v>
      </c>
      <c r="B4" s="2" t="s">
        <v>1</v>
      </c>
      <c r="C4" s="2">
        <v>46571</v>
      </c>
      <c r="D4" s="3">
        <f t="shared" si="0"/>
        <v>6.8362094362912577E-3</v>
      </c>
      <c r="E4" s="6">
        <v>29.752500000000001</v>
      </c>
      <c r="F4" s="2">
        <v>-94.686400000000006</v>
      </c>
    </row>
    <row r="5" spans="1:6" x14ac:dyDescent="0.2">
      <c r="A5" s="2">
        <f t="shared" si="1"/>
        <v>4</v>
      </c>
      <c r="B5" s="2" t="s">
        <v>2</v>
      </c>
      <c r="C5" s="2">
        <v>256526</v>
      </c>
      <c r="D5" s="3">
        <f t="shared" si="0"/>
        <v>3.7655739877907948E-2</v>
      </c>
      <c r="E5" s="5">
        <v>32.757399999999997</v>
      </c>
      <c r="F5" s="2">
        <v>-94.345200000000006</v>
      </c>
    </row>
    <row r="6" spans="1:6" x14ac:dyDescent="0.2">
      <c r="A6" s="2">
        <v>5</v>
      </c>
      <c r="B6" s="2" t="s">
        <v>4</v>
      </c>
      <c r="C6" s="2">
        <v>84808</v>
      </c>
      <c r="D6" s="3">
        <f t="shared" si="0"/>
        <v>1.2449061645079319E-2</v>
      </c>
      <c r="E6" s="7">
        <v>30.093</v>
      </c>
      <c r="F6" s="2">
        <v>-93.736599999999996</v>
      </c>
    </row>
    <row r="7" spans="1:6" x14ac:dyDescent="0.2">
      <c r="A7" s="2">
        <v>6</v>
      </c>
      <c r="B7" s="2" t="s">
        <v>5</v>
      </c>
      <c r="C7" s="2">
        <v>56231</v>
      </c>
      <c r="D7" s="3">
        <f t="shared" si="0"/>
        <v>8.254211694232327E-3</v>
      </c>
      <c r="E7" s="8">
        <v>30.1524</v>
      </c>
      <c r="F7" s="2">
        <v>-94.739099999999993</v>
      </c>
    </row>
    <row r="8" spans="1:6" x14ac:dyDescent="0.2">
      <c r="A8" s="2">
        <v>7</v>
      </c>
      <c r="B8" s="2" t="s">
        <v>6</v>
      </c>
      <c r="C8" s="2">
        <v>91628</v>
      </c>
      <c r="D8" s="3">
        <f t="shared" si="0"/>
        <v>1.3450177110830675E-2</v>
      </c>
      <c r="E8" s="6">
        <v>30.163399999999999</v>
      </c>
      <c r="F8" s="2">
        <v>-94.810599999999994</v>
      </c>
    </row>
    <row r="9" spans="1:6" x14ac:dyDescent="0.2">
      <c r="A9" s="2">
        <v>8</v>
      </c>
      <c r="B9" s="2" t="s">
        <v>7</v>
      </c>
      <c r="C9" s="2">
        <v>4731145</v>
      </c>
      <c r="D9" s="3">
        <f t="shared" si="0"/>
        <v>0.69449009240648052</v>
      </c>
      <c r="E9" s="6">
        <v>29.775200000000002</v>
      </c>
      <c r="F9" s="2">
        <v>-95.310299999999998</v>
      </c>
    </row>
    <row r="10" spans="1:6" x14ac:dyDescent="0.2">
      <c r="A10" s="2">
        <v>9</v>
      </c>
      <c r="B10" s="2" t="s">
        <v>15</v>
      </c>
      <c r="C10" s="2">
        <v>822779</v>
      </c>
      <c r="D10" s="3">
        <f t="shared" si="0"/>
        <v>0.12077665422220447</v>
      </c>
      <c r="E10" s="6">
        <v>29.569299999999998</v>
      </c>
      <c r="F10" s="2">
        <v>-95.814300000000003</v>
      </c>
    </row>
    <row r="11" spans="1:6" x14ac:dyDescent="0.2">
      <c r="A11" s="2"/>
      <c r="B11" s="2"/>
      <c r="C11" s="2"/>
      <c r="D11" s="3"/>
      <c r="E11" s="6"/>
      <c r="F11" s="2"/>
    </row>
    <row r="12" spans="1:6" x14ac:dyDescent="0.2">
      <c r="B12" s="2" t="s">
        <v>22</v>
      </c>
      <c r="C12">
        <f>SUM(C2:C10)</f>
        <v>6812401</v>
      </c>
      <c r="D12" s="9">
        <f>SUM(D2:D10)</f>
        <v>1</v>
      </c>
    </row>
    <row r="17" spans="1:1" x14ac:dyDescent="0.2">
      <c r="A17" t="s">
        <v>10</v>
      </c>
    </row>
    <row r="18" spans="1:1" x14ac:dyDescent="0.2">
      <c r="A18" s="1" t="s">
        <v>11</v>
      </c>
    </row>
    <row r="20" spans="1:1" x14ac:dyDescent="0.2">
      <c r="A20" t="s">
        <v>14</v>
      </c>
    </row>
    <row r="21" spans="1:1" x14ac:dyDescent="0.2">
      <c r="A21" s="1" t="s">
        <v>13</v>
      </c>
    </row>
    <row r="23" spans="1:1" x14ac:dyDescent="0.2">
      <c r="A23" t="s">
        <v>14</v>
      </c>
    </row>
    <row r="24" spans="1:1" x14ac:dyDescent="0.2">
      <c r="A24" t="s">
        <v>16</v>
      </c>
    </row>
    <row r="26" spans="1:1" x14ac:dyDescent="0.2">
      <c r="A26" t="s">
        <v>18</v>
      </c>
    </row>
    <row r="27" spans="1:1" x14ac:dyDescent="0.2">
      <c r="A27" t="s">
        <v>19</v>
      </c>
    </row>
  </sheetData>
  <hyperlinks>
    <hyperlink ref="A21" r:id="rId1" xr:uid="{894EDCF5-CEDC-42C2-AE26-28275678DD3B}"/>
    <hyperlink ref="A18" r:id="rId2" xr:uid="{7EB39FD7-008B-401B-A66C-61C14A05A6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Taguado Menza</dc:creator>
  <cp:lastModifiedBy>Stefano Marchetti</cp:lastModifiedBy>
  <dcterms:created xsi:type="dcterms:W3CDTF">2025-10-08T13:42:32Z</dcterms:created>
  <dcterms:modified xsi:type="dcterms:W3CDTF">2025-10-09T13:09:05Z</dcterms:modified>
</cp:coreProperties>
</file>